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_Eduk\DIO_Santander_Excel com IA_e_Claude\"/>
    </mc:Choice>
  </mc:AlternateContent>
  <xr:revisionPtr revIDLastSave="0" documentId="13_ncr:1_{20DD7004-0F0C-455B-A66C-D139A7914EB9}" xr6:coauthVersionLast="47" xr6:coauthVersionMax="47" xr10:uidLastSave="{00000000-0000-0000-0000-000000000000}"/>
  <bookViews>
    <workbookView xWindow="0" yWindow="0" windowWidth="19200" windowHeight="15480" tabRatio="329" xr2:uid="{D4500DC2-FAA5-41F4-A7B4-54506C69B016}"/>
  </bookViews>
  <sheets>
    <sheet name="Simulador" sheetId="1" r:id="rId1"/>
    <sheet name="Planilha3" sheetId="3" r:id="rId2"/>
    <sheet name="TabelaApoio" sheetId="2" r:id="rId3"/>
  </sheets>
  <definedNames>
    <definedName name="aporte">Simulador!$D$17</definedName>
    <definedName name="patrimonio">Simulador!$D$20</definedName>
    <definedName name="qtd_anos">Simulador!$D$18</definedName>
    <definedName name="redimento_carteira">Simulador!$D$13</definedName>
    <definedName name="salario">Simulador!$D$12</definedName>
    <definedName name="sugestao_investimento">Simulador!$D$14</definedName>
    <definedName name="taxa_mensal">Simulador!$D$19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6" i="1" l="1"/>
  <c r="D36" i="1" s="1"/>
  <c r="I2" i="2"/>
  <c r="C24" i="1"/>
  <c r="D20" i="1"/>
  <c r="C37" i="1"/>
  <c r="C38" i="1"/>
  <c r="C39" i="1"/>
  <c r="C40" i="1"/>
  <c r="C41" i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3" i="2"/>
  <c r="C33" i="1"/>
  <c r="D37" i="1" l="1"/>
  <c r="D41" i="1"/>
  <c r="D39" i="1"/>
  <c r="D38" i="1"/>
  <c r="D40" i="1"/>
  <c r="D21" i="1"/>
  <c r="D14" i="1"/>
  <c r="C28" i="1"/>
  <c r="D28" i="1" s="1"/>
  <c r="C26" i="1"/>
  <c r="D26" i="1" s="1"/>
  <c r="C27" i="1"/>
  <c r="D27" i="1" s="1"/>
  <c r="C25" i="1"/>
  <c r="D25" i="1" s="1"/>
  <c r="D24" i="1"/>
  <c r="D42" i="1" l="1"/>
</calcChain>
</file>

<file path=xl/sharedStrings.xml><?xml version="1.0" encoding="utf-8"?>
<sst xmlns="http://schemas.openxmlformats.org/spreadsheetml/2006/main" count="71" uniqueCount="34">
  <si>
    <t>Quanto Investir Por Mês?</t>
  </si>
  <si>
    <t>Por Quanto Anos?</t>
  </si>
  <si>
    <t>Taxa de Rendimento Mensal?</t>
  </si>
  <si>
    <t>Dividendos Mensais?</t>
  </si>
  <si>
    <t>INVESTIMENTO MENSAL</t>
  </si>
  <si>
    <t>Patrimônio Acumulado?</t>
  </si>
  <si>
    <t>Quanto em 2 anos?</t>
  </si>
  <si>
    <t>Quanto em 5 anos?</t>
  </si>
  <si>
    <t>Quanto em 10 anos?</t>
  </si>
  <si>
    <t>Quanto em 20 anos?</t>
  </si>
  <si>
    <t>Quanto em 30 anos?</t>
  </si>
  <si>
    <t>Redimento Carteira</t>
  </si>
  <si>
    <t>Salario</t>
  </si>
  <si>
    <t>CONFIGURAÇÕES</t>
  </si>
  <si>
    <t>Dividendo</t>
  </si>
  <si>
    <t>Cenários</t>
  </si>
  <si>
    <t>Agressivo</t>
  </si>
  <si>
    <t xml:space="preserve">VALOR A SER INVESTIDO POR MÊS 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</si>
  <si>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</si>
  <si>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</si>
  <si>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</si>
  <si>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</si>
  <si>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</si>
  <si>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</si>
  <si>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</si>
  <si>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FOF's</t>
  </si>
  <si>
    <t>DESENVOLVIMENTO</t>
  </si>
  <si>
    <t>HOTELARIAS</t>
  </si>
  <si>
    <t>Conservador</t>
  </si>
  <si>
    <t>Moderado</t>
  </si>
  <si>
    <t>CHAVE</t>
  </si>
  <si>
    <t>%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</si>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</sst>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 Narrow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20"/>
      <color theme="0"/>
      <name val="Segoe UI Semibold"/>
      <family val="2"/>
    </font>
    <font>
      <b/>
      <sz val="12"/>
      <color rgb="FF9E5C0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medium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medium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3" borderId="13" xfId="0" applyFont="1" applyFill="1" applyBorder="1" applyAlignment="1">
      <alignment horizontal="left" indent="2"/>
    </xf>
    <xf numFmtId="0" fontId="4" fillId="3" borderId="6" xfId="0" applyFont="1" applyFill="1" applyBorder="1" applyAlignment="1">
      <alignment horizontal="left" indent="2"/>
    </xf>
    <xf numFmtId="0" fontId="4" fillId="3" borderId="8" xfId="0" applyFont="1" applyFill="1" applyBorder="1" applyAlignment="1">
      <alignment horizontal="left" indent="2"/>
    </xf>
    <xf numFmtId="8" fontId="4" fillId="3" borderId="12" xfId="0" applyNumberFormat="1" applyFont="1" applyFill="1" applyBorder="1" applyAlignment="1">
      <alignment horizontal="center"/>
    </xf>
    <xf numFmtId="8" fontId="4" fillId="3" borderId="14" xfId="0" applyNumberFormat="1" applyFont="1" applyFill="1" applyBorder="1" applyAlignment="1">
      <alignment horizontal="center"/>
    </xf>
    <xf numFmtId="8" fontId="4" fillId="3" borderId="5" xfId="0" applyNumberFormat="1" applyFont="1" applyFill="1" applyBorder="1" applyAlignment="1">
      <alignment horizontal="center"/>
    </xf>
    <xf numFmtId="8" fontId="4" fillId="3" borderId="7" xfId="0" applyNumberFormat="1" applyFont="1" applyFill="1" applyBorder="1" applyAlignment="1">
      <alignment horizontal="center"/>
    </xf>
    <xf numFmtId="8" fontId="4" fillId="3" borderId="15" xfId="0" applyNumberFormat="1" applyFont="1" applyFill="1" applyBorder="1" applyAlignment="1">
      <alignment horizontal="center"/>
    </xf>
    <xf numFmtId="8" fontId="4" fillId="3" borderId="9" xfId="0" applyNumberFormat="1" applyFont="1" applyFill="1" applyBorder="1" applyAlignment="1">
      <alignment horizontal="center"/>
    </xf>
    <xf numFmtId="164" fontId="5" fillId="0" borderId="14" xfId="1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0" fontId="5" fillId="0" borderId="7" xfId="0" applyNumberFormat="1" applyFont="1" applyBorder="1" applyAlignment="1">
      <alignment horizontal="center" vertical="center"/>
    </xf>
    <xf numFmtId="8" fontId="5" fillId="3" borderId="7" xfId="0" applyNumberFormat="1" applyFont="1" applyFill="1" applyBorder="1" applyAlignment="1">
      <alignment horizontal="center"/>
    </xf>
    <xf numFmtId="8" fontId="5" fillId="3" borderId="9" xfId="0" applyNumberFormat="1" applyFont="1" applyFill="1" applyBorder="1" applyAlignment="1">
      <alignment horizontal="center"/>
    </xf>
    <xf numFmtId="164" fontId="4" fillId="0" borderId="11" xfId="1" applyNumberFormat="1" applyFont="1" applyBorder="1" applyAlignment="1">
      <alignment horizontal="center"/>
    </xf>
    <xf numFmtId="10" fontId="4" fillId="0" borderId="7" xfId="0" applyNumberFormat="1" applyFont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164" fontId="4" fillId="6" borderId="9" xfId="0" applyNumberFormat="1" applyFont="1" applyFill="1" applyBorder="1" applyAlignment="1">
      <alignment horizontal="center"/>
    </xf>
    <xf numFmtId="0" fontId="0" fillId="7" borderId="0" xfId="0" applyFill="1"/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0" fillId="3" borderId="0" xfId="0" applyFill="1"/>
    <xf numFmtId="0" fontId="5" fillId="3" borderId="0" xfId="0" applyFont="1" applyFill="1"/>
    <xf numFmtId="164" fontId="5" fillId="3" borderId="0" xfId="1" applyNumberFormat="1" applyFont="1" applyFill="1" applyAlignment="1">
      <alignment horizontal="center"/>
    </xf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0" fontId="5" fillId="4" borderId="0" xfId="0" applyFon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/>
    <xf numFmtId="9" fontId="0" fillId="8" borderId="0" xfId="0" applyNumberFormat="1" applyFill="1" applyAlignment="1">
      <alignment horizontal="center"/>
    </xf>
    <xf numFmtId="0" fontId="4" fillId="6" borderId="13" xfId="0" applyFont="1" applyFill="1" applyBorder="1" applyAlignment="1">
      <alignment horizontal="left" indent="2"/>
    </xf>
    <xf numFmtId="0" fontId="4" fillId="6" borderId="12" xfId="0" applyFont="1" applyFill="1" applyBorder="1" applyAlignment="1">
      <alignment horizontal="left" indent="2"/>
    </xf>
    <xf numFmtId="44" fontId="4" fillId="6" borderId="6" xfId="1" applyFont="1" applyFill="1" applyBorder="1" applyAlignment="1">
      <alignment horizontal="left" indent="2"/>
    </xf>
    <xf numFmtId="44" fontId="4" fillId="6" borderId="5" xfId="1" applyFont="1" applyFill="1" applyBorder="1" applyAlignment="1">
      <alignment horizontal="left" indent="2"/>
    </xf>
    <xf numFmtId="0" fontId="4" fillId="6" borderId="6" xfId="0" applyFont="1" applyFill="1" applyBorder="1" applyAlignment="1">
      <alignment horizontal="left" indent="2"/>
    </xf>
    <xf numFmtId="0" fontId="4" fillId="6" borderId="5" xfId="0" applyFont="1" applyFill="1" applyBorder="1" applyAlignment="1">
      <alignment horizontal="left" indent="2"/>
    </xf>
    <xf numFmtId="0" fontId="5" fillId="3" borderId="6" xfId="0" applyFont="1" applyFill="1" applyBorder="1" applyAlignment="1">
      <alignment horizontal="left" indent="2"/>
    </xf>
    <xf numFmtId="0" fontId="5" fillId="3" borderId="5" xfId="0" applyFont="1" applyFill="1" applyBorder="1" applyAlignment="1">
      <alignment horizontal="left" indent="2"/>
    </xf>
    <xf numFmtId="0" fontId="4" fillId="6" borderId="10" xfId="0" applyFont="1" applyFill="1" applyBorder="1" applyAlignment="1">
      <alignment horizontal="left" indent="2"/>
    </xf>
    <xf numFmtId="0" fontId="4" fillId="6" borderId="16" xfId="0" applyFont="1" applyFill="1" applyBorder="1" applyAlignment="1">
      <alignment horizontal="left" indent="2"/>
    </xf>
    <xf numFmtId="0" fontId="4" fillId="6" borderId="8" xfId="0" applyFont="1" applyFill="1" applyBorder="1" applyAlignment="1">
      <alignment horizontal="left" indent="2"/>
    </xf>
    <xf numFmtId="0" fontId="4" fillId="6" borderId="15" xfId="0" applyFont="1" applyFill="1" applyBorder="1" applyAlignment="1">
      <alignment horizontal="left" indent="2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indent="2"/>
    </xf>
    <xf numFmtId="0" fontId="5" fillId="3" borderId="15" xfId="0" applyFont="1" applyFill="1" applyBorder="1" applyAlignment="1">
      <alignment horizontal="left" indent="2"/>
    </xf>
    <xf numFmtId="0" fontId="6" fillId="5" borderId="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2" fillId="9" borderId="0" xfId="0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Simulador!$C$35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F1-45F6-A632-C36FEAED39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F1-45F6-A632-C36FEAED39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F1-45F6-A632-C36FEAED39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9F1-45F6-A632-C36FEAED39A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9F1-45F6-A632-C36FEAED39A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9F1-45F6-A632-C36FEAED39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FD-44C6-828B-5DAE5C8A2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209549</xdr:colOff>
      <xdr:row>0</xdr:row>
      <xdr:rowOff>76200</xdr:rowOff>
    </xdr:from>
    <xdr:to>
      <xdr:col>16384</xdr:col>
      <xdr:colOff>76200</xdr:colOff>
      <xdr:row>8</xdr:row>
      <xdr:rowOff>161925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45FB584-DD15-44CD-DF6A-4D2C6928B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76200"/>
          <a:ext cx="7962901" cy="160972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44</xdr:row>
      <xdr:rowOff>52387</xdr:rowOff>
    </xdr:from>
    <xdr:to>
      <xdr:col>4</xdr:col>
      <xdr:colOff>28575</xdr:colOff>
      <xdr:row>58</xdr:row>
      <xdr:rowOff>128587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2DBCD0-6E66-42DC-B3A8-D932AC0AF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19051</xdr:colOff>
      <xdr:row>1</xdr:row>
      <xdr:rowOff>19050</xdr:rowOff>
    </xdr:from>
    <xdr:to>
      <xdr:col>12</xdr:col>
      <xdr:colOff>257175</xdr:colOff>
      <xdr:row>9</xdr:row>
      <xdr:rowOff>40386</xdr:rowOff>
    </xdr:to>
    <xdr:pic>
      <xdr:nvPicPr>
        <xdr:cNvPr id="2" name="Imagem 1" descr="Five Steps to Construct a Diverse Real Estate Investment Portfolio">
          <a:extLst>
            <a:ext uri="{FF2B5EF4-FFF2-40B4-BE49-F238E27FC236}">
              <a16:creationId xmlns:a16="http://schemas.microsoft.com/office/drawing/2014/main" id="{21A59EA4-0096-2C3B-AECE-427CA4BDA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7051" y="209550"/>
          <a:ext cx="4505324" cy="15453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1FD3D-6702-4C2B-A52C-E782290B6942}">
  <dimension ref="A10:G42"/>
  <sheetViews>
    <sheetView showGridLines="0" tabSelected="1" topLeftCell="A37" workbookViewId="0">
      <selection activeCell="B36" sqref="B36"/>
    </sheetView>
  </sheetViews>
  <sheetFormatPr defaultColWidth="0" defaultRowHeight="15" x14ac:dyDescent="0.25"/>
  <cols>
    <col min="1" max="1" width="3.7109375" customWidth="1"/>
    <col min="2" max="2" width="51.140625" customWidth="1"/>
    <col min="3" max="3" width="28.5703125" bestFit="1" customWidth="1"/>
    <col min="4" max="4" width="20.5703125" customWidth="1"/>
    <col min="5" max="5" width="6.42578125" customWidth="1"/>
    <col min="6" max="6" width="5" customWidth="1"/>
    <col min="7" max="7" width="6" customWidth="1"/>
    <col min="8" max="11" width="9.140625" hidden="1" customWidth="1"/>
    <col min="12" max="16384" width="9.140625" hidden="1"/>
  </cols>
  <sheetData>
    <row r="10" spans="2:4" ht="15.75" thickBot="1" x14ac:dyDescent="0.3"/>
    <row r="11" spans="2:4" ht="30.75" x14ac:dyDescent="0.25">
      <c r="B11" s="55" t="s">
        <v>13</v>
      </c>
      <c r="C11" s="56"/>
      <c r="D11" s="57"/>
    </row>
    <row r="12" spans="2:4" ht="17.25" x14ac:dyDescent="0.3">
      <c r="B12" s="44" t="s">
        <v>12</v>
      </c>
      <c r="C12" s="45"/>
      <c r="D12" s="17">
        <v>2000</v>
      </c>
    </row>
    <row r="13" spans="2:4" ht="17.25" x14ac:dyDescent="0.3">
      <c r="B13" s="40" t="s">
        <v>11</v>
      </c>
      <c r="C13" s="41"/>
      <c r="D13" s="18">
        <v>6.0000000000000001E-3</v>
      </c>
    </row>
    <row r="14" spans="2:4" ht="18" thickBot="1" x14ac:dyDescent="0.35">
      <c r="B14" s="46" t="s">
        <v>33</v>
      </c>
      <c r="C14" s="47"/>
      <c r="D14" s="20">
        <f>D12*30%</f>
        <v>600</v>
      </c>
    </row>
    <row r="15" spans="2:4" ht="15.75" thickBot="1" x14ac:dyDescent="0.3"/>
    <row r="16" spans="2:4" ht="30" customHeight="1" thickBot="1" x14ac:dyDescent="0.3">
      <c r="B16" s="48" t="s">
        <v>4</v>
      </c>
      <c r="C16" s="49"/>
      <c r="D16" s="50"/>
    </row>
    <row r="17" spans="1:6" ht="17.25" x14ac:dyDescent="0.3">
      <c r="B17" s="36" t="s">
        <v>0</v>
      </c>
      <c r="C17" s="37"/>
      <c r="D17" s="12">
        <v>200</v>
      </c>
    </row>
    <row r="18" spans="1:6" ht="17.25" x14ac:dyDescent="0.3">
      <c r="B18" s="38" t="s">
        <v>1</v>
      </c>
      <c r="C18" s="39"/>
      <c r="D18" s="13">
        <v>5</v>
      </c>
    </row>
    <row r="19" spans="1:6" ht="17.25" x14ac:dyDescent="0.3">
      <c r="B19" s="40" t="s">
        <v>2</v>
      </c>
      <c r="C19" s="41"/>
      <c r="D19" s="14">
        <v>1.0789999999999999E-2</v>
      </c>
    </row>
    <row r="20" spans="1:6" ht="17.25" x14ac:dyDescent="0.3">
      <c r="B20" s="42" t="s">
        <v>5</v>
      </c>
      <c r="C20" s="43"/>
      <c r="D20" s="15">
        <f>FV(taxa_mensal,qtd_anos*12,aporte*-1)</f>
        <v>16755.382799697527</v>
      </c>
      <c r="E20" s="1"/>
      <c r="F20" s="1"/>
    </row>
    <row r="21" spans="1:6" ht="18" thickBot="1" x14ac:dyDescent="0.35">
      <c r="B21" s="53" t="s">
        <v>3</v>
      </c>
      <c r="C21" s="54"/>
      <c r="D21" s="16">
        <f>patrimonio*redimento_carteira</f>
        <v>100.53229679818516</v>
      </c>
    </row>
    <row r="22" spans="1:6" ht="25.5" customHeight="1" thickBot="1" x14ac:dyDescent="0.3"/>
    <row r="23" spans="1:6" ht="31.5" thickBot="1" x14ac:dyDescent="0.3">
      <c r="B23" s="51" t="s">
        <v>15</v>
      </c>
      <c r="C23" s="52"/>
      <c r="D23" s="19" t="s">
        <v>14</v>
      </c>
    </row>
    <row r="24" spans="1:6" ht="17.25" x14ac:dyDescent="0.3">
      <c r="A24" s="58">
        <v>2</v>
      </c>
      <c r="B24" s="3" t="s">
        <v>6</v>
      </c>
      <c r="C24" s="6">
        <f>FV($D$19,$A24*12,$D$17*-1)</f>
        <v>5445.5254595290435</v>
      </c>
      <c r="D24" s="7">
        <f>C24*redimento_carteira</f>
        <v>32.673152757174265</v>
      </c>
    </row>
    <row r="25" spans="1:6" ht="17.25" x14ac:dyDescent="0.3">
      <c r="A25" s="58">
        <v>5</v>
      </c>
      <c r="B25" s="4" t="s">
        <v>7</v>
      </c>
      <c r="C25" s="8">
        <f>FV($D$19,$A25*12,$D$17*-1)</f>
        <v>16755.382799697527</v>
      </c>
      <c r="D25" s="9">
        <f>C25*redimento_carteira</f>
        <v>100.53229679818516</v>
      </c>
    </row>
    <row r="26" spans="1:6" ht="17.25" x14ac:dyDescent="0.3">
      <c r="A26" s="58">
        <v>10</v>
      </c>
      <c r="B26" s="4" t="s">
        <v>8</v>
      </c>
      <c r="C26" s="8">
        <f>FV($D$19,$A26*12,$D$17*-1)</f>
        <v>48656.842506034438</v>
      </c>
      <c r="D26" s="9">
        <f>C26*redimento_carteira</f>
        <v>291.94105503620665</v>
      </c>
    </row>
    <row r="27" spans="1:6" ht="17.25" x14ac:dyDescent="0.3">
      <c r="A27" s="58">
        <v>20</v>
      </c>
      <c r="B27" s="4" t="s">
        <v>9</v>
      </c>
      <c r="C27" s="8">
        <f>FV($D$19,$A27*12,$D$17*-1)</f>
        <v>225039.68001941612</v>
      </c>
      <c r="D27" s="9">
        <f>C27*redimento_carteira</f>
        <v>1350.2380801164968</v>
      </c>
    </row>
    <row r="28" spans="1:6" ht="18" thickBot="1" x14ac:dyDescent="0.35">
      <c r="A28" s="58">
        <v>30</v>
      </c>
      <c r="B28" s="5" t="s">
        <v>10</v>
      </c>
      <c r="C28" s="10">
        <f>FV($D$19,$A28*12,$D$17*-1)</f>
        <v>864433.93100094295</v>
      </c>
      <c r="D28" s="11">
        <f>C28*redimento_carteira</f>
        <v>5186.6035860056581</v>
      </c>
    </row>
    <row r="32" spans="1:6" ht="17.25" x14ac:dyDescent="0.3">
      <c r="B32" s="22" t="s">
        <v>18</v>
      </c>
      <c r="C32" s="23" t="s">
        <v>29</v>
      </c>
      <c r="D32" s="21"/>
    </row>
    <row r="33" spans="2:4" ht="17.25" x14ac:dyDescent="0.3">
      <c r="B33" s="25" t="s">
        <v>17</v>
      </c>
      <c r="C33" s="26">
        <f>aporte</f>
        <v>200</v>
      </c>
      <c r="D33" s="24"/>
    </row>
    <row r="35" spans="2:4" ht="17.25" x14ac:dyDescent="0.3">
      <c r="B35" s="30" t="s">
        <v>19</v>
      </c>
      <c r="C35" s="30" t="s">
        <v>20</v>
      </c>
      <c r="D35" s="30" t="s">
        <v>21</v>
      </c>
    </row>
    <row r="36" spans="2:4" x14ac:dyDescent="0.25">
      <c r="B36" s="2" t="s">
        <v>22</v>
      </c>
      <c r="C36" s="33">
        <f>VLOOKUP($C$32&amp;"-"&amp;B36,TabelaApoio!$B:$E,4,FALSE)</f>
        <v>0.32</v>
      </c>
      <c r="D36" s="27">
        <f>C36*$C$33</f>
        <v>64</v>
      </c>
    </row>
    <row r="37" spans="2:4" x14ac:dyDescent="0.25">
      <c r="B37" s="2" t="s">
        <v>23</v>
      </c>
      <c r="C37" s="33">
        <f>VLOOKUP($C$32&amp;"-"&amp;B37,TabelaApoio!$B:$E,4,FALSE)</f>
        <v>0.35</v>
      </c>
      <c r="D37" s="27">
        <f t="shared" ref="D37:D41" si="0">C37*$C$33</f>
        <v>70</v>
      </c>
    </row>
    <row r="38" spans="2:4" x14ac:dyDescent="0.25">
      <c r="B38" s="2" t="s">
        <v>24</v>
      </c>
      <c r="C38" s="33">
        <f>VLOOKUP($C$32&amp;"-"&amp;B38,TabelaApoio!$B:$E,4,FALSE)</f>
        <v>0.08</v>
      </c>
      <c r="D38" s="27">
        <f t="shared" si="0"/>
        <v>16</v>
      </c>
    </row>
    <row r="39" spans="2:4" x14ac:dyDescent="0.25">
      <c r="B39" s="2" t="s">
        <v>25</v>
      </c>
      <c r="C39" s="33">
        <f>VLOOKUP($C$32&amp;"-"&amp;B39,TabelaApoio!$B:$E,4,FALSE)</f>
        <v>0.05</v>
      </c>
      <c r="D39" s="27">
        <f t="shared" si="0"/>
        <v>10</v>
      </c>
    </row>
    <row r="40" spans="2:4" x14ac:dyDescent="0.25">
      <c r="B40" s="2" t="s">
        <v>26</v>
      </c>
      <c r="C40" s="33">
        <f>VLOOKUP($C$32&amp;"-"&amp;B40,TabelaApoio!$B:$E,4,FALSE)</f>
        <v>0.1</v>
      </c>
      <c r="D40" s="27">
        <f t="shared" si="0"/>
        <v>20</v>
      </c>
    </row>
    <row r="41" spans="2:4" x14ac:dyDescent="0.25">
      <c r="B41" s="2" t="s">
        <v>27</v>
      </c>
      <c r="C41" s="33">
        <f>VLOOKUP($C$32&amp;"-"&amp;B41,TabelaApoio!$B:$E,4,FALSE)</f>
        <v>0.1</v>
      </c>
      <c r="D41" s="27">
        <f t="shared" si="0"/>
        <v>20</v>
      </c>
    </row>
    <row r="42" spans="2:4" x14ac:dyDescent="0.25">
      <c r="B42" s="28"/>
      <c r="C42" s="28"/>
      <c r="D42" s="29">
        <f>SUM(D36:D41)</f>
        <v>200</v>
      </c>
    </row>
  </sheetData>
  <mergeCells count="11">
    <mergeCell ref="B23:C23"/>
    <mergeCell ref="B21:C21"/>
    <mergeCell ref="B11:D11"/>
    <mergeCell ref="B17:C17"/>
    <mergeCell ref="B18:C18"/>
    <mergeCell ref="B19:C19"/>
    <mergeCell ref="B20:C20"/>
    <mergeCell ref="B12:C12"/>
    <mergeCell ref="B13:C13"/>
    <mergeCell ref="B14:C14"/>
    <mergeCell ref="B16:D16"/>
  </mergeCells>
  <dataValidations count="1">
    <dataValidation type="list" allowBlank="1" showInputMessage="1" showErrorMessage="1" sqref="C32" xr:uid="{9D98D471-C98F-40A4-A5A0-20012FB1645C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1FFF6-01B5-47B2-9D64-1A1FF81A932D}">
  <dimension ref="A1"/>
  <sheetViews>
    <sheetView topLeftCell="E1" workbookViewId="0">
      <selection activeCell="B5" sqref="B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B5B5C-848C-4E58-9C6E-F4C63FB53B99}">
  <dimension ref="B1:I20"/>
  <sheetViews>
    <sheetView workbookViewId="0">
      <selection activeCell="H31" sqref="H31"/>
    </sheetView>
  </sheetViews>
  <sheetFormatPr defaultRowHeight="15" x14ac:dyDescent="0.25"/>
  <cols>
    <col min="2" max="2" width="31.28515625" bestFit="1" customWidth="1"/>
    <col min="3" max="3" width="12.140625" bestFit="1" customWidth="1"/>
    <col min="4" max="4" width="19" bestFit="1" customWidth="1"/>
    <col min="5" max="5" width="11" bestFit="1" customWidth="1"/>
    <col min="8" max="8" width="28.28515625" customWidth="1"/>
    <col min="9" max="9" width="25.42578125" customWidth="1"/>
  </cols>
  <sheetData>
    <row r="1" spans="2:9" x14ac:dyDescent="0.25">
      <c r="I1" t="s">
        <v>31</v>
      </c>
    </row>
    <row r="2" spans="2:9" x14ac:dyDescent="0.25">
      <c r="B2" t="s">
        <v>30</v>
      </c>
      <c r="C2" t="s">
        <v>18</v>
      </c>
      <c r="D2" s="2" t="s">
        <v>19</v>
      </c>
      <c r="E2" s="2" t="s">
        <v>31</v>
      </c>
      <c r="H2" s="34" t="s">
        <v>32</v>
      </c>
      <c r="I2" s="35">
        <f>VLOOKUP(H2,B3:E20,4,0)</f>
        <v>0.35</v>
      </c>
    </row>
    <row r="3" spans="2:9" x14ac:dyDescent="0.25">
      <c r="B3" t="str">
        <f>C3&amp;"-"&amp;D3</f>
        <v>Conservador-PAPEL</v>
      </c>
      <c r="C3" t="s">
        <v>28</v>
      </c>
      <c r="D3" s="2" t="s">
        <v>22</v>
      </c>
      <c r="E3" s="33">
        <v>0.3</v>
      </c>
    </row>
    <row r="4" spans="2:9" x14ac:dyDescent="0.25">
      <c r="B4" t="str">
        <f t="shared" ref="B4:B20" si="0">C4&amp;"-"&amp;D4</f>
        <v>Conservador-TIJOLO</v>
      </c>
      <c r="C4" t="s">
        <v>28</v>
      </c>
      <c r="D4" s="2" t="s">
        <v>23</v>
      </c>
      <c r="E4" s="33">
        <v>0.5</v>
      </c>
    </row>
    <row r="5" spans="2:9" x14ac:dyDescent="0.25">
      <c r="B5" t="str">
        <f t="shared" si="0"/>
        <v>Conservador-HÍBRIDOS</v>
      </c>
      <c r="C5" t="s">
        <v>28</v>
      </c>
      <c r="D5" s="2" t="s">
        <v>24</v>
      </c>
      <c r="E5" s="33">
        <v>0.1</v>
      </c>
    </row>
    <row r="6" spans="2:9" x14ac:dyDescent="0.25">
      <c r="B6" t="str">
        <f t="shared" si="0"/>
        <v>Conservador-FOF's</v>
      </c>
      <c r="C6" t="s">
        <v>28</v>
      </c>
      <c r="D6" s="2" t="s">
        <v>25</v>
      </c>
      <c r="E6" s="33">
        <v>0.1</v>
      </c>
    </row>
    <row r="7" spans="2:9" x14ac:dyDescent="0.25">
      <c r="B7" t="str">
        <f t="shared" si="0"/>
        <v>Conservador-DESENVOLVIMENTO</v>
      </c>
      <c r="C7" t="s">
        <v>28</v>
      </c>
      <c r="D7" s="2" t="s">
        <v>26</v>
      </c>
      <c r="E7" s="33">
        <v>0</v>
      </c>
    </row>
    <row r="8" spans="2:9" ht="15.75" thickBot="1" x14ac:dyDescent="0.3">
      <c r="B8" s="31" t="str">
        <f t="shared" si="0"/>
        <v>Conservador-HOTELARIAS</v>
      </c>
      <c r="C8" s="31" t="s">
        <v>28</v>
      </c>
      <c r="D8" s="32" t="s">
        <v>27</v>
      </c>
      <c r="E8" s="33">
        <v>0</v>
      </c>
    </row>
    <row r="9" spans="2:9" x14ac:dyDescent="0.25">
      <c r="B9" t="str">
        <f t="shared" si="0"/>
        <v>Moderado-PAPEL</v>
      </c>
      <c r="C9" t="s">
        <v>29</v>
      </c>
      <c r="D9" s="2" t="s">
        <v>22</v>
      </c>
      <c r="E9" s="33">
        <v>0.32</v>
      </c>
    </row>
    <row r="10" spans="2:9" x14ac:dyDescent="0.25">
      <c r="B10" t="str">
        <f t="shared" si="0"/>
        <v>Moderado-TIJOLO</v>
      </c>
      <c r="C10" t="s">
        <v>29</v>
      </c>
      <c r="D10" s="2" t="s">
        <v>23</v>
      </c>
      <c r="E10" s="33">
        <v>0.35</v>
      </c>
    </row>
    <row r="11" spans="2:9" x14ac:dyDescent="0.25">
      <c r="B11" t="str">
        <f t="shared" si="0"/>
        <v>Moderado-HÍBRIDOS</v>
      </c>
      <c r="C11" t="s">
        <v>29</v>
      </c>
      <c r="D11" s="2" t="s">
        <v>24</v>
      </c>
      <c r="E11" s="33">
        <v>0.08</v>
      </c>
    </row>
    <row r="12" spans="2:9" x14ac:dyDescent="0.25">
      <c r="B12" t="str">
        <f t="shared" si="0"/>
        <v>Moderado-FOF's</v>
      </c>
      <c r="C12" t="s">
        <v>29</v>
      </c>
      <c r="D12" s="2" t="s">
        <v>25</v>
      </c>
      <c r="E12" s="33">
        <v>0.05</v>
      </c>
    </row>
    <row r="13" spans="2:9" x14ac:dyDescent="0.25">
      <c r="B13" t="str">
        <f t="shared" si="0"/>
        <v>Moderado-DESENVOLVIMENTO</v>
      </c>
      <c r="C13" t="s">
        <v>29</v>
      </c>
      <c r="D13" s="2" t="s">
        <v>26</v>
      </c>
      <c r="E13" s="33">
        <v>0.1</v>
      </c>
    </row>
    <row r="14" spans="2:9" ht="15.75" thickBot="1" x14ac:dyDescent="0.3">
      <c r="B14" s="31" t="str">
        <f t="shared" si="0"/>
        <v>Moderado-HOTELARIAS</v>
      </c>
      <c r="C14" s="31" t="s">
        <v>29</v>
      </c>
      <c r="D14" s="32" t="s">
        <v>27</v>
      </c>
      <c r="E14" s="33">
        <v>0.1</v>
      </c>
    </row>
    <row r="15" spans="2:9" x14ac:dyDescent="0.25">
      <c r="B15" t="str">
        <f t="shared" si="0"/>
        <v>Agressivo-PAPEL</v>
      </c>
      <c r="C15" t="s">
        <v>16</v>
      </c>
      <c r="D15" s="2" t="s">
        <v>22</v>
      </c>
      <c r="E15" s="33">
        <v>0.5</v>
      </c>
    </row>
    <row r="16" spans="2:9" x14ac:dyDescent="0.25">
      <c r="B16" t="str">
        <f t="shared" si="0"/>
        <v>Agressivo-TIJOLO</v>
      </c>
      <c r="C16" t="s">
        <v>16</v>
      </c>
      <c r="D16" s="2" t="s">
        <v>23</v>
      </c>
      <c r="E16" s="33">
        <v>0.1</v>
      </c>
    </row>
    <row r="17" spans="2:5" x14ac:dyDescent="0.25">
      <c r="B17" t="str">
        <f t="shared" si="0"/>
        <v>Agressivo-HÍBRIDOS</v>
      </c>
      <c r="C17" t="s">
        <v>16</v>
      </c>
      <c r="D17" s="2" t="s">
        <v>24</v>
      </c>
      <c r="E17" s="33">
        <v>0.05</v>
      </c>
    </row>
    <row r="18" spans="2:5" x14ac:dyDescent="0.25">
      <c r="B18" t="str">
        <f t="shared" si="0"/>
        <v>Agressivo-FOF's</v>
      </c>
      <c r="C18" t="s">
        <v>16</v>
      </c>
      <c r="D18" s="2" t="s">
        <v>25</v>
      </c>
      <c r="E18" s="33">
        <v>0.05</v>
      </c>
    </row>
    <row r="19" spans="2:5" x14ac:dyDescent="0.25">
      <c r="B19" t="str">
        <f t="shared" si="0"/>
        <v>Agressivo-DESENVOLVIMENTO</v>
      </c>
      <c r="C19" t="s">
        <v>16</v>
      </c>
      <c r="D19" s="2" t="s">
        <v>26</v>
      </c>
      <c r="E19" s="33">
        <v>0.2</v>
      </c>
    </row>
    <row r="20" spans="2:5" x14ac:dyDescent="0.25">
      <c r="B20" t="str">
        <f t="shared" si="0"/>
        <v>Agressivo-HOTELARIAS</v>
      </c>
      <c r="C20" t="s">
        <v>16</v>
      </c>
      <c r="D20" s="2" t="s">
        <v>27</v>
      </c>
      <c r="E20" s="3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7</vt:i4>
      </vt:variant>
    </vt:vector>
  </HeadingPairs>
  <TitlesOfParts>
    <vt:vector size="10" baseType="lpstr">
      <vt:lpstr>Simulador</vt:lpstr>
      <vt:lpstr>Planilha3</vt:lpstr>
      <vt:lpstr>TabelaApoio</vt:lpstr>
      <vt:lpstr>aporte</vt:lpstr>
      <vt:lpstr>patrimonio</vt:lpstr>
      <vt:lpstr>qtd_anos</vt:lpstr>
      <vt:lpstr>redimento_carteira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Moisés Lima Santos</dc:creator>
  <cp:lastModifiedBy>Moisés Lima Santos</cp:lastModifiedBy>
  <dcterms:created xsi:type="dcterms:W3CDTF">2026-09-01T23:06:55Z</dcterms:created>
  <dcterms:modified xsi:type="dcterms:W3CDTF">2026-09-03T11:03:13Z</dcterms:modified>
</cp:coreProperties>
</file>